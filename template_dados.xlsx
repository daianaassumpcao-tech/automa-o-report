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6" activeTab="5" autoFilterDateGrouping="1"/>
  </bookViews>
  <sheets>
    <sheet xmlns:r="http://schemas.openxmlformats.org/officeDocument/2006/relationships" name="_Instrucoes" sheetId="1" state="visible" r:id="rId1"/>
    <sheet xmlns:r="http://schemas.openxmlformats.org/officeDocument/2006/relationships" name="Configuracao" sheetId="2" state="visible" r:id="rId2"/>
    <sheet xmlns:r="http://schemas.openxmlformats.org/officeDocument/2006/relationships" name="Manutencao_KPIs" sheetId="3" state="visible" r:id="rId3"/>
    <sheet xmlns:r="http://schemas.openxmlformats.org/officeDocument/2006/relationships" name="Manutencao_Niveis" sheetId="4" state="visible" r:id="rId4"/>
    <sheet xmlns:r="http://schemas.openxmlformats.org/officeDocument/2006/relationships" name="Viagens_KPIs" sheetId="5" state="visible" r:id="rId5"/>
    <sheet xmlns:r="http://schemas.openxmlformats.org/officeDocument/2006/relationships" name="Viagens_Evolucao" sheetId="6" state="visible" r:id="rId6"/>
    <sheet xmlns:r="http://schemas.openxmlformats.org/officeDocument/2006/relationships" name="Leads_Mensal" sheetId="7" state="visible" r:id="rId7"/>
    <sheet xmlns:r="http://schemas.openxmlformats.org/officeDocument/2006/relationships" name="Vendedores" sheetId="8" state="visible" r:id="rId8"/>
    <sheet xmlns:r="http://schemas.openxmlformats.org/officeDocument/2006/relationships" name="Funil" sheetId="9" state="visible" r:id="rId9"/>
    <sheet xmlns:r="http://schemas.openxmlformats.org/officeDocument/2006/relationships" name="Desfalque" sheetId="10" state="visible" r:id="rId10"/>
    <sheet xmlns:r="http://schemas.openxmlformats.org/officeDocument/2006/relationships" name="Orcamento" sheetId="11" state="visible" r:id="rId11"/>
    <sheet xmlns:r="http://schemas.openxmlformats.org/officeDocument/2006/relationships" name="Status_Area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B6BF9A"/>
      <sz val="10"/>
    </font>
    <font>
      <name val="Arial"/>
      <color rgb="FF5A7A6A"/>
      <sz val="10"/>
    </font>
    <font>
      <name val="Arial"/>
      <b val="1"/>
      <color rgb="FF000000"/>
      <sz val="10"/>
    </font>
    <font>
      <name val="Arial"/>
      <i val="1"/>
      <color rgb="FF7E8C54"/>
      <sz val="9"/>
    </font>
    <font>
      <name val="Arial"/>
      <b val="1"/>
      <color rgb="FF2E3628"/>
      <sz val="18"/>
    </font>
    <font>
      <name val="Arial"/>
      <color rgb="FF000000"/>
      <sz val="11"/>
    </font>
    <font>
      <name val="Arial"/>
      <b val="1"/>
      <color rgb="FF48A860"/>
      <sz val="14"/>
    </font>
    <font>
      <name val="Arial"/>
      <b val="1"/>
      <color rgb="FFD4924A"/>
      <sz val="14"/>
    </font>
    <font>
      <b val="1"/>
      <color rgb="00B6BF9A"/>
      <sz val="10"/>
    </font>
  </fonts>
  <fills count="4">
    <fill>
      <patternFill/>
    </fill>
    <fill>
      <patternFill patternType="gray125"/>
    </fill>
    <fill>
      <patternFill patternType="solid">
        <fgColor rgb="FF1E2419"/>
      </patternFill>
    </fill>
    <fill>
      <patternFill patternType="solid">
        <fgColor rgb="001E2419"/>
      </patternFill>
    </fill>
  </fills>
  <borders count="2">
    <border>
      <left/>
      <right/>
      <top/>
      <bottom/>
      <diagonal/>
    </border>
    <border>
      <left style="thin">
        <color rgb="FFD0D5C0"/>
      </left>
      <right style="thin">
        <color rgb="FFD0D5C0"/>
      </right>
      <top style="thin">
        <color rgb="FFD0D5C0"/>
      </top>
      <bottom style="thin">
        <color rgb="FFD0D5C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7" fontId="3" fillId="0" borderId="1" applyAlignment="1" pivotButton="0" quotePrefix="0" xfId="0">
      <alignment horizontal="right" vertical="center" wrapText="1"/>
    </xf>
    <xf numFmtId="14" fontId="3" fillId="0" borderId="1" applyAlignment="1" pivotButton="0" quotePrefix="0" xfId="0">
      <alignment horizontal="right" vertical="center" wrapText="1"/>
    </xf>
    <xf numFmtId="9" fontId="0" fillId="0" borderId="0" pivotButton="0" quotePrefix="0" xfId="0"/>
    <xf numFmtId="0" fontId="9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template</author>
  </authors>
  <commentList>
    <comment ref="B1" authorId="0" shapeId="0">
      <text>
        <t>Cores válidas: mid (verde) | olive | red | amber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3.15" customHeight="1">
      <c r="A1" s="1" t="inlineStr">
        <is>
          <t>Dashboard Facilities — Template de dados</t>
        </is>
      </c>
    </row>
    <row r="2" ht="26.45" customHeight="1">
      <c r="A2" s="2" t="inlineStr">
        <is>
          <t>Preencha as abas abaixo com os números do mês. Salve, abra admin.html no site, arraste o arquivo e baixe o pacote pra subir no Netlify.</t>
        </is>
      </c>
    </row>
    <row r="3" ht="26.45" customHeight="1">
      <c r="A3" s="2" t="n"/>
    </row>
    <row r="4" ht="33.6" customHeight="1">
      <c r="A4" s="3" t="inlineStr">
        <is>
          <t>Abas que você vai preencher</t>
        </is>
      </c>
    </row>
    <row r="5" ht="26.45" customHeight="1">
      <c r="A5" s="2" t="inlineStr">
        <is>
          <t xml:space="preserve">   • Configuracao — metas anuais, período do mês, ocupação, faturamento, callout do rodapé</t>
        </is>
      </c>
    </row>
    <row r="6" ht="26.45" customHeight="1">
      <c r="A6" s="2" t="inlineStr">
        <is>
          <t xml:space="preserve">   • Manutencao_KPIs — contagens de tickets encerrados/abertos, no prazo/atrasados</t>
        </is>
      </c>
    </row>
    <row r="7" ht="26.45" customHeight="1">
      <c r="A7" s="2" t="inlineStr">
        <is>
          <t xml:space="preserve">   • Manutencao_Niveis — tabela com SLA por nível N1/N2/N3</t>
        </is>
      </c>
    </row>
    <row r="8" ht="26.45" customHeight="1">
      <c r="A8" s="2" t="inlineStr">
        <is>
          <t xml:space="preserve">   • Viagens_KPIs — contagens de viagens (total, concluídas, canceladas, etc.)</t>
        </is>
      </c>
    </row>
    <row r="9" ht="26.45" customHeight="1">
      <c r="A9" s="2" t="inlineStr">
        <is>
          <t xml:space="preserve">   • Viagens_Evolucao — série mensal: Jan/Fev/Mar/... com total e no_prazo</t>
        </is>
      </c>
    </row>
    <row r="10" ht="26.45" customHeight="1">
      <c r="A10" s="2" t="inlineStr">
        <is>
          <t xml:space="preserve">   • Leads_Mensal — série mensal: leads atendidos e convertidos por mês</t>
        </is>
      </c>
    </row>
    <row r="11" ht="26.45" customHeight="1">
      <c r="A11" s="2" t="inlineStr">
        <is>
          <t xml:space="preserve">   • Vendedores — linha por vendedor com contratos, receita, leads, conversão</t>
        </is>
      </c>
    </row>
    <row r="12" ht="26.45" customHeight="1">
      <c r="A12" s="2" t="inlineStr">
        <is>
          <t xml:space="preserve">   • Funil — contagens absolutas para o funil comercial</t>
        </is>
      </c>
    </row>
    <row r="14" ht="26.45" customHeight="1">
      <c r="A14" s="2" t="n"/>
    </row>
    <row r="15" ht="33.6" customHeight="1">
      <c r="A15" s="4" t="inlineStr">
        <is>
          <t>Regras importantes</t>
        </is>
      </c>
    </row>
    <row r="16" ht="26.45" customHeight="1">
      <c r="A16" s="2" t="inlineStr">
        <is>
          <t xml:space="preserve">   • Nunca renomeie as abas, nem as colunas — o admin.html procura pelos nomes exatos.</t>
        </is>
      </c>
    </row>
    <row r="17" ht="26.45" customHeight="1">
      <c r="A17" s="2" t="inlineStr">
        <is>
          <t xml:space="preserve">   • Pode adicionar mais linhas em Viagens_Evolucao, Leads_Mensal e Vendedores conforme o ano avança.</t>
        </is>
      </c>
    </row>
    <row r="18" ht="26.45" customHeight="1">
      <c r="A18" s="2" t="inlineStr">
        <is>
          <t xml:space="preserve">   • Datas e textos podem ficar em qualquer formato (ex: 31/03/2026 ou Março 2026).</t>
        </is>
      </c>
    </row>
    <row r="19" ht="26.45" customHeight="1">
      <c r="A19" s="2" t="inlineStr">
        <is>
          <t xml:space="preserve">   • Números em R$ devem ser sem ponto/símbolo (ex: 28000, não R$ 28.000).</t>
        </is>
      </c>
    </row>
    <row r="20" ht="26.45" customHeight="1">
      <c r="A20" s="2" t="inlineStr">
        <is>
          <t xml:space="preserve">   • Em "cor" da aba Vendedores use apenas: mid (verde escuro) | olive | red | amber.</t>
        </is>
      </c>
    </row>
    <row r="21" ht="26.45" customHeight="1">
      <c r="A21" s="2" t="n"/>
    </row>
    <row r="22" ht="33.6" customHeight="1">
      <c r="A22" s="3" t="inlineStr">
        <is>
          <t>Fluxo mensal</t>
        </is>
      </c>
    </row>
    <row r="23" ht="26.45" customHeight="1">
      <c r="A23" s="2" t="inlineStr">
        <is>
          <t xml:space="preserve">   1. Atualize esta planilha com os dados do mês</t>
        </is>
      </c>
    </row>
    <row r="24" ht="26.45" customHeight="1">
      <c r="A24" s="2" t="inlineStr">
        <is>
          <t xml:space="preserve">   2. Acesse seusite.netlify.app/admin.html</t>
        </is>
      </c>
    </row>
    <row r="25" ht="26.45" customHeight="1">
      <c r="A25" s="2" t="inlineStr">
        <is>
          <t xml:space="preserve">   3. Arraste o .xlsx → confira o resumo → baixe o dashboard.zip</t>
        </is>
      </c>
    </row>
    <row r="26" ht="26.45" customHeight="1">
      <c r="A26" s="2" t="inlineStr">
        <is>
          <t xml:space="preserve">   4. Em app.netlify.com → seu site → Deploys, arraste o zip na área "Drag and drop"</t>
        </is>
      </c>
    </row>
    <row r="27" ht="26.45" customHeight="1">
      <c r="A27" s="2" t="inlineStr">
        <is>
          <t xml:space="preserve">   5. Em ~30 segundos o site (e a TV) já mostram os novos dados</t>
        </is>
      </c>
    </row>
    <row r="29">
      <c r="A29" t="inlineStr">
        <is>
          <t>Novidade: abas "Desfalque" e "Orcamento" alimentam o relatório PDF mensal. "Status_Areas" é opcional — o admin gera o texto automaticamente se ficar em branco.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12" activePane="bottomLeft" state="frozen"/>
      <selection pane="bottomLeft" activeCell="B30" sqref="B30"/>
    </sheetView>
  </sheetViews>
  <sheetFormatPr baseColWidth="8" defaultRowHeight="15"/>
  <cols>
    <col width="32" customWidth="1" min="1" max="1"/>
    <col width="38" customWidth="1" min="2" max="2"/>
    <col width="50" customWidth="1" min="3" max="3"/>
  </cols>
  <sheetData>
    <row r="1" ht="24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periodo_operacional</t>
        </is>
      </c>
      <c r="B2" s="12" t="n">
        <v>46113</v>
      </c>
      <c r="C2" s="8" t="inlineStr">
        <is>
          <t>aparece no header do dashboard operacional</t>
        </is>
      </c>
    </row>
    <row r="3">
      <c r="A3" s="6" t="inlineStr">
        <is>
          <t>periodo_comercial</t>
        </is>
      </c>
      <c r="B3" s="7" t="inlineStr">
        <is>
          <t>Acumulado Jan–Abri 2026</t>
        </is>
      </c>
      <c r="C3" s="8" t="inlineStr">
        <is>
          <t>aparece no header do dashboard comercial</t>
        </is>
      </c>
    </row>
    <row r="4">
      <c r="A4" s="6" t="inlineStr">
        <is>
          <t>mes_referencia</t>
        </is>
      </c>
      <c r="B4" s="12" t="n">
        <v>46113</v>
      </c>
      <c r="C4" s="8" t="inlineStr">
        <is>
          <t>badge no canto superior direito do comercial</t>
        </is>
      </c>
    </row>
    <row r="5">
      <c r="A5" s="6" t="inlineStr">
        <is>
          <t>ultima_atualizacao</t>
        </is>
      </c>
      <c r="B5" s="13" t="n">
        <v>46140</v>
      </c>
      <c r="C5" s="8" t="inlineStr">
        <is>
          <t>data de última atualização</t>
        </is>
      </c>
    </row>
    <row r="6">
      <c r="A6" s="6" t="inlineStr">
        <is>
          <t>meta_sla_manutencao</t>
        </is>
      </c>
      <c r="B6" s="7" t="n">
        <v>90</v>
      </c>
      <c r="C6" s="8" t="inlineStr">
        <is>
          <t>em %, meta de SLA manutenção</t>
        </is>
      </c>
    </row>
    <row r="7">
      <c r="A7" s="6" t="inlineStr">
        <is>
          <t>meta_sla_viagens</t>
        </is>
      </c>
      <c r="B7" s="7" t="n">
        <v>90</v>
      </c>
      <c r="C7" s="8" t="inlineStr">
        <is>
          <t>em %, meta de SLA viagens</t>
        </is>
      </c>
    </row>
    <row r="8">
      <c r="A8" s="6" t="inlineStr">
        <is>
          <t>meta_conversao</t>
        </is>
      </c>
      <c r="B8" s="7" t="n">
        <v>15</v>
      </c>
      <c r="C8" s="8" t="inlineStr">
        <is>
          <t>em %, meta mínima de conversão mensal</t>
        </is>
      </c>
    </row>
    <row r="9">
      <c r="A9" s="6" t="inlineStr">
        <is>
          <t>meta_ocupacao</t>
        </is>
      </c>
      <c r="B9" s="7" t="n">
        <v>80</v>
      </c>
      <c r="C9" s="8" t="inlineStr">
        <is>
          <t>em %, meta de ocupação</t>
        </is>
      </c>
    </row>
    <row r="10">
      <c r="A10" s="6" t="inlineStr">
        <is>
          <t>meta_leads_anuais</t>
        </is>
      </c>
      <c r="B10" s="7" t="n">
        <v>200</v>
      </c>
      <c r="C10" s="8" t="inlineStr">
        <is>
          <t>meta de leads atendidos no ano</t>
        </is>
      </c>
    </row>
    <row r="11">
      <c r="A11" s="6" t="inlineStr">
        <is>
          <t>meta_faturamento_mensal</t>
        </is>
      </c>
      <c r="B11" s="7" t="n">
        <v>28000</v>
      </c>
      <c r="C11" s="8" t="inlineStr">
        <is>
          <t>em R$, meta de faturamento mensal</t>
        </is>
      </c>
    </row>
    <row r="12">
      <c r="A12" s="6" t="inlineStr">
        <is>
          <t>ocupacao_atual</t>
        </is>
      </c>
      <c r="B12" s="7" t="n">
        <v>83</v>
      </c>
      <c r="C12" s="8" t="inlineStr">
        <is>
          <t>em %, ocupação hoje</t>
        </is>
      </c>
    </row>
    <row r="13">
      <c r="A13" s="6" t="inlineStr">
        <is>
          <t>ocupacao_previsao_dez</t>
        </is>
      </c>
      <c r="B13" s="7" t="n">
        <v>53</v>
      </c>
      <c r="C13" s="8" t="inlineStr">
        <is>
          <t>em %, projeção dezembro</t>
        </is>
      </c>
    </row>
    <row r="14">
      <c r="A14" s="6" t="inlineStr">
        <is>
          <t>faturamento_atual</t>
        </is>
      </c>
      <c r="B14" s="7" t="n">
        <v>36375</v>
      </c>
      <c r="C14" s="8" t="inlineStr">
        <is>
          <t>em R$, faturamento atual</t>
        </is>
      </c>
    </row>
    <row r="15">
      <c r="A15" s="6" t="inlineStr">
        <is>
          <t>novos_contratos</t>
        </is>
      </c>
      <c r="B15" s="7" t="n">
        <v>4</v>
      </c>
      <c r="C15" s="8" t="inlineStr">
        <is>
          <t>número de novos contratos</t>
        </is>
      </c>
    </row>
    <row r="16">
      <c r="A16" s="6" t="inlineStr">
        <is>
          <t>destaque_contrato</t>
        </is>
      </c>
      <c r="B16" s="7" t="inlineStr">
        <is>
          <t>★ Abril: 3 sala privativa</t>
        </is>
      </c>
      <c r="C16" s="8" t="inlineStr">
        <is>
          <t>destaque do mês</t>
        </is>
      </c>
    </row>
    <row r="17">
      <c r="A17" s="6" t="inlineStr">
        <is>
          <t>subtitulo_contratos</t>
        </is>
      </c>
      <c r="B17" s="7" t="inlineStr">
        <is>
          <t>+5 contrato &amp; 2 renovações</t>
        </is>
      </c>
      <c r="C17" s="8" t="inlineStr">
        <is>
          <t>subtítulo do card de contratos</t>
        </is>
      </c>
    </row>
    <row r="18" ht="48" customHeight="1">
      <c r="A18" s="6" t="inlineStr">
        <is>
          <t>callout</t>
        </is>
      </c>
      <c r="B18" s="7" t="inlineStr">
        <is>
          <t xml:space="preserve">Maio: +6 salas novas locadas. +2 renovações de contrato.Conversão (35%) acima da meta mínima (15%). Ocupação atual 83% </t>
        </is>
      </c>
      <c r="C18" s="8" t="inlineStr">
        <is>
          <t>texto da faixa inferior do dashboard comercial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B5" sqref="B5"/>
    </sheetView>
  </sheetViews>
  <sheetFormatPr baseColWidth="8" defaultRowHeight="15"/>
  <cols>
    <col width="28" customWidth="1" min="1" max="1"/>
    <col width="14" customWidth="1" min="2" max="2"/>
    <col width="50" customWidth="1" min="3" max="3"/>
  </cols>
  <sheetData>
    <row r="1" ht="24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encerrados_no_prazo</t>
        </is>
      </c>
      <c r="B2" s="7" t="n">
        <v>83</v>
      </c>
      <c r="C2" s="8" t="inlineStr">
        <is>
          <t>tickets encerrados dentro do SLA</t>
        </is>
      </c>
    </row>
    <row r="3">
      <c r="A3" s="6" t="inlineStr">
        <is>
          <t>encerrados_atrasados</t>
        </is>
      </c>
      <c r="B3" s="7" t="n">
        <v>8</v>
      </c>
      <c r="C3" s="8" t="inlineStr">
        <is>
          <t>tickets encerrados fora do SLA</t>
        </is>
      </c>
    </row>
    <row r="4">
      <c r="A4" s="6" t="inlineStr">
        <is>
          <t>abertos_no_prazo</t>
        </is>
      </c>
      <c r="B4" s="7" t="n">
        <v>7</v>
      </c>
      <c r="C4" s="8" t="inlineStr">
        <is>
          <t>tickets ainda abertos dentro do prazo</t>
        </is>
      </c>
    </row>
    <row r="5">
      <c r="A5" s="6" t="inlineStr">
        <is>
          <t>abertos_atrasados</t>
        </is>
      </c>
      <c r="B5" s="7" t="n">
        <v>2</v>
      </c>
      <c r="C5" s="8" t="inlineStr">
        <is>
          <t>tickets abertos e já estourados</t>
        </is>
      </c>
    </row>
    <row r="12">
      <c r="C12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C4" sqref="C4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</cols>
  <sheetData>
    <row r="1" ht="24" customHeight="1">
      <c r="A1" s="5" t="inlineStr">
        <is>
          <t>nivel</t>
        </is>
      </c>
      <c r="B1" s="5" t="inlineStr">
        <is>
          <t>prazo_du</t>
        </is>
      </c>
      <c r="C1" s="5" t="inlineStr">
        <is>
          <t>encerrados_total</t>
        </is>
      </c>
      <c r="D1" s="5" t="inlineStr">
        <is>
          <t>encerrados_no_prazo</t>
        </is>
      </c>
    </row>
    <row r="2">
      <c r="A2" s="9" t="inlineStr">
        <is>
          <t>N1</t>
        </is>
      </c>
      <c r="B2" s="10" t="n">
        <v>2</v>
      </c>
      <c r="C2" s="10" t="n">
        <v>53</v>
      </c>
      <c r="D2" s="10" t="n">
        <v>46</v>
      </c>
    </row>
    <row r="3">
      <c r="A3" s="9" t="inlineStr">
        <is>
          <t>N2</t>
        </is>
      </c>
      <c r="B3" s="10" t="n">
        <v>7</v>
      </c>
      <c r="C3" s="10" t="n">
        <v>24</v>
      </c>
      <c r="D3" s="10" t="n">
        <v>18</v>
      </c>
    </row>
    <row r="4">
      <c r="A4" s="9" t="inlineStr">
        <is>
          <t>N3</t>
        </is>
      </c>
      <c r="B4" s="10" t="n">
        <v>20</v>
      </c>
      <c r="C4" s="10" t="n">
        <v>6</v>
      </c>
      <c r="D4" s="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10" sqref="B10"/>
    </sheetView>
  </sheetViews>
  <sheetFormatPr baseColWidth="8" defaultRowHeight="15"/>
  <cols>
    <col width="28" customWidth="1" min="1" max="1"/>
    <col width="14" customWidth="1" min="2" max="2"/>
    <col width="50" customWidth="1" min="3" max="3"/>
  </cols>
  <sheetData>
    <row r="1" ht="24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total</t>
        </is>
      </c>
      <c r="B2" s="7" t="n">
        <v>31</v>
      </c>
      <c r="C2" s="8" t="inlineStr">
        <is>
          <t>total de viagens no período</t>
        </is>
      </c>
    </row>
    <row r="3">
      <c r="A3" s="6" t="inlineStr">
        <is>
          <t>concluidos</t>
        </is>
      </c>
      <c r="B3" s="7" t="n">
        <v>29</v>
      </c>
      <c r="C3" s="8" t="inlineStr">
        <is>
          <t>viagens concluídas</t>
        </is>
      </c>
    </row>
    <row r="4">
      <c r="A4" s="6" t="inlineStr">
        <is>
          <t>cancelados</t>
        </is>
      </c>
      <c r="B4" s="7" t="n">
        <v>2</v>
      </c>
      <c r="C4" s="8" t="inlineStr">
        <is>
          <t>viagens canceladas</t>
        </is>
      </c>
    </row>
    <row r="5">
      <c r="A5" s="6" t="inlineStr">
        <is>
          <t>atrasados_encerrados</t>
        </is>
      </c>
      <c r="B5" s="7" t="n">
        <v>2</v>
      </c>
      <c r="C5" s="8" t="inlineStr">
        <is>
          <t>encerradas mas fora do prazo</t>
        </is>
      </c>
    </row>
    <row r="6">
      <c r="A6" s="6" t="inlineStr">
        <is>
          <t>atrasados_abertos</t>
        </is>
      </c>
      <c r="B6" s="7" t="n">
        <v>0</v>
      </c>
      <c r="C6" s="8" t="inlineStr">
        <is>
          <t>abertas e atrasadas</t>
        </is>
      </c>
    </row>
    <row r="7">
      <c r="A7" s="6" t="inlineStr">
        <is>
          <t>concluidos_no_prazo</t>
        </is>
      </c>
      <c r="B7" s="7" t="n">
        <v>29</v>
      </c>
      <c r="C7" s="8" t="inlineStr">
        <is>
          <t>concluídas dentro do SLA</t>
        </is>
      </c>
    </row>
    <row r="8">
      <c r="A8" s="6" t="inlineStr">
        <is>
          <t>concluidos_avaliados</t>
        </is>
      </c>
      <c r="B8" s="7" t="n">
        <v>29</v>
      </c>
      <c r="C8" s="8" t="inlineStr">
        <is>
          <t>concluídas com data preenchida (entram no % SLA)</t>
        </is>
      </c>
    </row>
    <row r="9">
      <c r="A9" s="6" t="inlineStr">
        <is>
          <t>sem_data_encerramento</t>
        </is>
      </c>
      <c r="B9" s="7" t="n">
        <v>0</v>
      </c>
      <c r="C9" s="8" t="inlineStr">
        <is>
          <t>concluídas mas sem data preenchida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pane ySplit="1" topLeftCell="A2" activePane="bottomLeft" state="frozen"/>
      <selection pane="bottomLeft" activeCell="A6" sqref="A6:C6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 ht="24" customHeight="1">
      <c r="A1" s="5" t="inlineStr">
        <is>
          <t>mes</t>
        </is>
      </c>
      <c r="B1" s="5" t="inlineStr">
        <is>
          <t>total</t>
        </is>
      </c>
      <c r="C1" s="5" t="inlineStr">
        <is>
          <t>no_prazo</t>
        </is>
      </c>
    </row>
    <row r="2">
      <c r="A2" s="9" t="inlineStr">
        <is>
          <t>Jan</t>
        </is>
      </c>
      <c r="B2" s="10" t="n">
        <v>3</v>
      </c>
      <c r="C2" s="10" t="n">
        <v>3</v>
      </c>
    </row>
    <row r="3">
      <c r="A3" s="9" t="inlineStr">
        <is>
          <t>Fev</t>
        </is>
      </c>
      <c r="B3" s="10" t="n">
        <v>8</v>
      </c>
      <c r="C3" s="10" t="n">
        <v>7</v>
      </c>
    </row>
    <row r="4">
      <c r="A4" s="9" t="inlineStr">
        <is>
          <t>Mar</t>
        </is>
      </c>
      <c r="B4" s="10" t="n">
        <v>9</v>
      </c>
      <c r="C4" s="10" t="n">
        <v>9</v>
      </c>
    </row>
    <row r="5">
      <c r="A5" s="9" t="inlineStr">
        <is>
          <t>Abril</t>
        </is>
      </c>
      <c r="B5" s="10" t="n">
        <v>7</v>
      </c>
      <c r="C5" s="10" t="n">
        <v>7</v>
      </c>
    </row>
    <row r="6">
      <c r="A6" s="9" t="inlineStr">
        <is>
          <t>Maio</t>
        </is>
      </c>
      <c r="B6" s="10" t="n">
        <v>2</v>
      </c>
      <c r="C6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6" sqref="A6:C6"/>
    </sheetView>
  </sheetViews>
  <sheetFormatPr baseColWidth="8" defaultRowHeight="15"/>
  <cols>
    <col width="14" customWidth="1" min="1" max="2"/>
    <col width="16" customWidth="1" min="3" max="3"/>
  </cols>
  <sheetData>
    <row r="1" ht="24" customHeight="1">
      <c r="A1" s="5" t="inlineStr">
        <is>
          <t>mes</t>
        </is>
      </c>
      <c r="B1" s="5" t="inlineStr">
        <is>
          <t>atendidos</t>
        </is>
      </c>
      <c r="C1" s="5" t="inlineStr">
        <is>
          <t>convertidos</t>
        </is>
      </c>
    </row>
    <row r="2">
      <c r="A2" s="9" t="inlineStr">
        <is>
          <t>Janeiro</t>
        </is>
      </c>
      <c r="B2" s="10" t="n">
        <v>9</v>
      </c>
      <c r="C2" s="10" t="n">
        <v>3</v>
      </c>
    </row>
    <row r="3">
      <c r="A3" s="9" t="inlineStr">
        <is>
          <t>Fevereiro</t>
        </is>
      </c>
      <c r="B3" s="10" t="n">
        <v>10</v>
      </c>
      <c r="C3" s="10" t="n">
        <v>5</v>
      </c>
    </row>
    <row r="4">
      <c r="A4" s="9" t="inlineStr">
        <is>
          <t>Março</t>
        </is>
      </c>
      <c r="B4" s="10" t="n">
        <v>17</v>
      </c>
      <c r="C4" s="10" t="n">
        <v>4</v>
      </c>
    </row>
    <row r="5">
      <c r="A5" s="9" t="inlineStr">
        <is>
          <t>Abril</t>
        </is>
      </c>
      <c r="B5" s="10" t="n">
        <v>8</v>
      </c>
      <c r="C5" s="10" t="n">
        <v>2</v>
      </c>
    </row>
    <row r="6">
      <c r="A6" s="9" t="inlineStr">
        <is>
          <t>Maio</t>
        </is>
      </c>
      <c r="B6" s="10" t="n">
        <v>5</v>
      </c>
      <c r="C6" s="10" t="n">
        <v>2</v>
      </c>
    </row>
    <row r="8">
      <c r="E8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E9" sqref="E9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2" customWidth="1" min="4" max="4"/>
    <col width="18" customWidth="1" min="5" max="5"/>
    <col width="14" customWidth="1" min="6" max="6"/>
  </cols>
  <sheetData>
    <row r="1" ht="24" customHeight="1">
      <c r="A1" s="5" t="inlineStr">
        <is>
          <t>nome</t>
        </is>
      </c>
      <c r="B1" s="5" t="inlineStr">
        <is>
          <t>cor</t>
        </is>
      </c>
      <c r="C1" s="5" t="inlineStr">
        <is>
          <t>contratos</t>
        </is>
      </c>
      <c r="D1" s="5" t="inlineStr">
        <is>
          <t>receita_anualizada</t>
        </is>
      </c>
      <c r="E1" s="5" t="inlineStr">
        <is>
          <t>leads_atendidos</t>
        </is>
      </c>
      <c r="F1" s="5" t="inlineStr">
        <is>
          <t>convertidos</t>
        </is>
      </c>
    </row>
    <row r="2">
      <c r="A2" s="9" t="inlineStr">
        <is>
          <t>Daiana</t>
        </is>
      </c>
      <c r="B2" s="10" t="inlineStr">
        <is>
          <t>mid</t>
        </is>
      </c>
      <c r="C2" s="10" t="n">
        <v>17</v>
      </c>
      <c r="D2" s="10" t="n">
        <v>48937</v>
      </c>
      <c r="E2" s="10" t="n">
        <v>34</v>
      </c>
      <c r="F2" s="10">
        <f>C2</f>
        <v/>
      </c>
    </row>
    <row r="3">
      <c r="A3" s="9" t="inlineStr">
        <is>
          <t>Roberta</t>
        </is>
      </c>
      <c r="B3" s="10" t="inlineStr">
        <is>
          <t>olive</t>
        </is>
      </c>
      <c r="C3" s="10" t="n">
        <v>1</v>
      </c>
      <c r="D3" s="10" t="n">
        <v>0</v>
      </c>
      <c r="E3" s="10" t="n">
        <v>18</v>
      </c>
      <c r="F3" s="10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D18" sqref="D18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 ht="24" customHeight="1">
      <c r="A1" s="5" t="inlineStr">
        <is>
          <t>campo</t>
        </is>
      </c>
      <c r="B1" s="5" t="inlineStr">
        <is>
          <t>valor</t>
        </is>
      </c>
      <c r="C1" s="5" t="inlineStr">
        <is>
          <t>observação</t>
        </is>
      </c>
    </row>
    <row r="2">
      <c r="A2" s="6" t="inlineStr">
        <is>
          <t>leads_atendidos</t>
        </is>
      </c>
      <c r="B2" s="7" t="n">
        <v>53</v>
      </c>
      <c r="C2" s="8" t="inlineStr">
        <is>
          <t>total de leads atendidos no período</t>
        </is>
      </c>
    </row>
    <row r="3">
      <c r="A3" s="6" t="inlineStr">
        <is>
          <t>em_aberto</t>
        </is>
      </c>
      <c r="B3" s="7" t="n">
        <v>0</v>
      </c>
      <c r="C3" s="8" t="inlineStr">
        <is>
          <t>leads ainda em negociação</t>
        </is>
      </c>
    </row>
    <row r="4">
      <c r="A4" s="6" t="inlineStr">
        <is>
          <t>convertidos</t>
        </is>
      </c>
      <c r="B4" s="7" t="n">
        <v>17</v>
      </c>
      <c r="C4" s="8" t="inlineStr">
        <is>
          <t>leads que viraram contrato</t>
        </is>
      </c>
    </row>
    <row r="5">
      <c r="A5" s="6" t="inlineStr">
        <is>
          <t>churned</t>
        </is>
      </c>
      <c r="B5" s="7">
        <f>B2-B4-B3</f>
        <v/>
      </c>
      <c r="C5" s="8" t="inlineStr">
        <is>
          <t>leads perdidos / desistiram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42" customWidth="1" min="5" max="5"/>
  </cols>
  <sheetData>
    <row r="1">
      <c r="A1" s="15" t="inlineStr">
        <is>
          <t>tipo</t>
        </is>
      </c>
      <c r="B1" s="15" t="inlineStr">
        <is>
          <t>nome</t>
        </is>
      </c>
      <c r="C1" s="15" t="inlineStr">
        <is>
          <t>desfalque_mensal</t>
        </is>
      </c>
      <c r="D1" s="15" t="inlineStr">
        <is>
          <t>desfalque_anual</t>
        </is>
      </c>
      <c r="E1" s="15" t="inlineStr">
        <is>
          <t>observacao</t>
        </is>
      </c>
    </row>
    <row r="2">
      <c r="A2" t="inlineStr">
        <is>
          <t>contrato</t>
        </is>
      </c>
      <c r="B2" t="inlineStr">
        <is>
          <t>Zeno</t>
        </is>
      </c>
      <c r="C2" t="n">
        <v>3555</v>
      </c>
      <c r="D2" t="n">
        <v>42600</v>
      </c>
      <c r="E2" t="inlineStr">
        <is>
          <t>Contrato com valor abaixo do praticado</t>
        </is>
      </c>
    </row>
    <row r="3">
      <c r="A3" t="inlineStr">
        <is>
          <t>contrato</t>
        </is>
      </c>
      <c r="B3" t="inlineStr">
        <is>
          <t>Caplink + Leandro</t>
        </is>
      </c>
      <c r="C3" t="n">
        <v>3000</v>
      </c>
      <c r="D3" t="n">
        <v>36000</v>
      </c>
      <c r="E3" t="inlineStr">
        <is>
          <t>Dois contratos agrupados</t>
        </is>
      </c>
    </row>
    <row r="4">
      <c r="A4" t="inlineStr">
        <is>
          <t>posicao_individual</t>
        </is>
      </c>
      <c r="B4" t="inlineStr">
        <is>
          <t>Michele</t>
        </is>
      </c>
      <c r="C4" t="n">
        <v>60</v>
      </c>
      <c r="D4" t="n">
        <v>720</v>
      </c>
      <c r="E4" t="inlineStr">
        <is>
          <t>Ativo</t>
        </is>
      </c>
    </row>
    <row r="5">
      <c r="A5" t="inlineStr">
        <is>
          <t>posicao_individual</t>
        </is>
      </c>
      <c r="B5" t="inlineStr">
        <is>
          <t>Paula</t>
        </is>
      </c>
      <c r="C5" t="n">
        <v>40</v>
      </c>
      <c r="D5" t="n">
        <v>480</v>
      </c>
      <c r="E5" t="inlineStr">
        <is>
          <t>Ativo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5" customWidth="1" min="3" max="3"/>
  </cols>
  <sheetData>
    <row r="1">
      <c r="A1" s="15" t="inlineStr">
        <is>
          <t>campo</t>
        </is>
      </c>
      <c r="B1" s="15" t="inlineStr">
        <is>
          <t>valor</t>
        </is>
      </c>
      <c r="C1" s="15" t="inlineStr">
        <is>
          <t>observação</t>
        </is>
      </c>
    </row>
    <row r="2">
      <c r="A2" t="inlineStr">
        <is>
          <t>orcamento_realizado_mes</t>
        </is>
      </c>
      <c r="B2" t="n">
        <v>66700</v>
      </c>
      <c r="C2" t="inlineStr">
        <is>
          <t>total gasto no mês (R$)</t>
        </is>
      </c>
    </row>
    <row r="3">
      <c r="A3" t="inlineStr">
        <is>
          <t>orcamento_orcado_mes</t>
        </is>
      </c>
      <c r="B3" t="n">
        <v>69400</v>
      </c>
      <c r="C3" t="inlineStr">
        <is>
          <t>orçado para o mês após redução (R$)</t>
        </is>
      </c>
    </row>
    <row r="4">
      <c r="A4" t="inlineStr">
        <is>
          <t>orcamento_inicial_mes</t>
        </is>
      </c>
      <c r="B4" t="n">
        <v>79400</v>
      </c>
      <c r="C4" t="inlineStr">
        <is>
          <t>orçado inicial antes da redução (R$)</t>
        </is>
      </c>
    </row>
    <row r="5">
      <c r="A5" t="inlineStr">
        <is>
          <t>orcamento_anual</t>
        </is>
      </c>
      <c r="B5" t="n">
        <v>832000</v>
      </c>
      <c r="C5" t="inlineStr">
        <is>
          <t>orçamento total do ano (R$)</t>
        </is>
      </c>
    </row>
    <row r="6">
      <c r="A6" t="inlineStr">
        <is>
          <t>consumo_acumulado_valor</t>
        </is>
      </c>
      <c r="B6" t="n">
        <v>79200</v>
      </c>
      <c r="C6" t="inlineStr">
        <is>
          <t>valor consumido no acumulado do ano até este mês (R$)</t>
        </is>
      </c>
    </row>
    <row r="7">
      <c r="A7" t="inlineStr">
        <is>
          <t>consumo_acumulado_esperado_pct</t>
        </is>
      </c>
      <c r="B7" t="n">
        <v>33</v>
      </c>
      <c r="C7" t="inlineStr">
        <is>
          <t>percentual esperado do orçamento anual neste ponto do ano (%)</t>
        </is>
      </c>
    </row>
    <row r="8">
      <c r="A8" t="inlineStr">
        <is>
          <t>custo_total_mes</t>
        </is>
      </c>
      <c r="B8" t="n">
        <v>781.4400000000001</v>
      </c>
      <c r="C8" t="inlineStr">
        <is>
          <t>custo operacional total do mês (R$) — mão de obra + material</t>
        </is>
      </c>
    </row>
    <row r="9">
      <c r="A9" t="inlineStr">
        <is>
          <t>mao_obra_mes</t>
        </is>
      </c>
      <c r="B9" t="n">
        <v>524.09</v>
      </c>
      <c r="C9" t="inlineStr">
        <is>
          <t>custo de mão de obra / pós-obra do mês (R$)</t>
        </is>
      </c>
    </row>
    <row r="10">
      <c r="A10" t="inlineStr">
        <is>
          <t>material_mes</t>
        </is>
      </c>
      <c r="B10" t="n">
        <v>257.35</v>
      </c>
      <c r="C10" t="inlineStr">
        <is>
          <t>custo de material do mês (R$)</t>
        </is>
      </c>
    </row>
    <row r="11">
      <c r="A11" t="inlineStr">
        <is>
          <t>cards_custo_concluidos</t>
        </is>
      </c>
      <c r="B11" t="n">
        <v>10</v>
      </c>
      <c r="C11" t="inlineStr">
        <is>
          <t>nº de cards concluídos considerados no custo médio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70" customWidth="1" min="3" max="3"/>
  </cols>
  <sheetData>
    <row r="1">
      <c r="A1" s="15" t="inlineStr">
        <is>
          <t>bloco</t>
        </is>
      </c>
      <c r="B1" s="15" t="inlineStr">
        <is>
          <t>titulo</t>
        </is>
      </c>
      <c r="C1" s="15" t="inlineStr">
        <is>
          <t>texto</t>
        </is>
      </c>
    </row>
    <row r="2">
      <c r="A2" t="inlineStr">
        <is>
          <t>(opcional)</t>
        </is>
      </c>
      <c r="B2" t="inlineStr">
        <is>
          <t>Deixe em branco para o admin gerar automaticamente</t>
        </is>
      </c>
      <c r="C2" t="inlineStr">
        <is>
          <t>O admin cria um rascunho de cada bloco a partir dos números. Você pode preenchê-los aqui manualmente se quiser pular a revisão na tela, ou deixar em branco e revisar/editar direto na ferramenta antes de gerar o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2026-04-27T18:51:06Z</dcterms:created>
  <dcterms:modified xmlns:dcterms="http://purl.org/dc/terms/" xmlns:xsi="http://www.w3.org/2001/XMLSchema-instance" xsi:type="dcterms:W3CDTF">2026-06-19T13:39:21Z</dcterms:modified>
  <cp:lastModifiedBy>Daiana Assumpção</cp:lastModifiedBy>
</cp:coreProperties>
</file>